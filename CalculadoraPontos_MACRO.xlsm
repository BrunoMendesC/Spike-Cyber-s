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SPIKE LEGO\TEORICA\Engenharia\"/>
    </mc:Choice>
  </mc:AlternateContent>
  <xr:revisionPtr revIDLastSave="0" documentId="13_ncr:1_{6E026991-4C7E-4833-A06C-FD2DB33D1236}" xr6:coauthVersionLast="47" xr6:coauthVersionMax="47" xr10:uidLastSave="{00000000-0000-0000-0000-000000000000}"/>
  <bookViews>
    <workbookView xWindow="-120" yWindow="-120" windowWidth="20730" windowHeight="11160" xr2:uid="{47DE9D08-A18D-470F-814D-2B525759AA10}"/>
  </bookViews>
  <sheets>
    <sheet name="Calculadora" sheetId="1" r:id="rId1"/>
    <sheet name=".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1" l="1"/>
  <c r="N9" i="1" s="1"/>
  <c r="N7" i="1"/>
  <c r="N6" i="1"/>
  <c r="J9" i="1"/>
  <c r="J8" i="1"/>
  <c r="J7" i="1"/>
  <c r="J6" i="1"/>
  <c r="D7" i="1"/>
  <c r="D6" i="1"/>
  <c r="I11" i="1" l="1"/>
  <c r="D9" i="1"/>
  <c r="I14" i="1"/>
</calcChain>
</file>

<file path=xl/sharedStrings.xml><?xml version="1.0" encoding="utf-8"?>
<sst xmlns="http://schemas.openxmlformats.org/spreadsheetml/2006/main" count="33" uniqueCount="26">
  <si>
    <t>Calculadora da Pontuação das Missões</t>
  </si>
  <si>
    <t>Área de Plantio</t>
  </si>
  <si>
    <t xml:space="preserve">Cor Difertente </t>
  </si>
  <si>
    <t>Mesma Cor</t>
  </si>
  <si>
    <t>Pontuação</t>
  </si>
  <si>
    <t>Muda pequena em pé</t>
  </si>
  <si>
    <t>Muda pequena deitada</t>
  </si>
  <si>
    <r>
      <t xml:space="preserve">Plantio de Mudas </t>
    </r>
    <r>
      <rPr>
        <b/>
        <sz val="18"/>
        <color theme="0"/>
        <rFont val="Calibri"/>
        <family val="2"/>
        <scheme val="minor"/>
      </rPr>
      <t>Pequenas</t>
    </r>
  </si>
  <si>
    <r>
      <t xml:space="preserve">Plantio de Mudas </t>
    </r>
    <r>
      <rPr>
        <b/>
        <sz val="18"/>
        <color theme="0"/>
        <rFont val="Calibri"/>
        <family val="2"/>
        <scheme val="minor"/>
      </rPr>
      <t>Grandes</t>
    </r>
  </si>
  <si>
    <t>Com 1 defensivo agrícola na mesma área de plantio</t>
  </si>
  <si>
    <t>Sem nenhum defensivo agrícola na mesma área de plantio</t>
  </si>
  <si>
    <t>Muda grande em pé</t>
  </si>
  <si>
    <t>Muda grande deitada</t>
  </si>
  <si>
    <t>Defensivos Agrícolas</t>
  </si>
  <si>
    <t>Nos depósitos</t>
  </si>
  <si>
    <t>Na base</t>
  </si>
  <si>
    <r>
      <t xml:space="preserve">Tocando </t>
    </r>
    <r>
      <rPr>
        <b/>
        <sz val="11"/>
        <color theme="1"/>
        <rFont val="Calibri"/>
        <family val="2"/>
        <scheme val="minor"/>
      </rPr>
      <t>QUALQUER</t>
    </r>
    <r>
      <rPr>
        <sz val="11"/>
        <color theme="1"/>
        <rFont val="Calibri"/>
        <family val="2"/>
        <scheme val="minor"/>
      </rPr>
      <t xml:space="preserve"> área azul do tapete</t>
    </r>
  </si>
  <si>
    <t>Localização</t>
  </si>
  <si>
    <r>
      <t xml:space="preserve">Pontuação </t>
    </r>
    <r>
      <rPr>
        <b/>
        <sz val="18"/>
        <color theme="0"/>
        <rFont val="Calibri"/>
        <family val="2"/>
        <scheme val="minor"/>
      </rPr>
      <t>Total</t>
    </r>
  </si>
  <si>
    <t>Pontuação Máxima</t>
  </si>
  <si>
    <t>Pontuação A_P</t>
  </si>
  <si>
    <t>Pontuação A_G</t>
  </si>
  <si>
    <t>Pontuação Defensivos</t>
  </si>
  <si>
    <t>Pontuação Máxima Arvores Pequenas</t>
  </si>
  <si>
    <t>Pontuação Máxima Arvores Grandes</t>
  </si>
  <si>
    <t>Pontuação Máxima Defensivos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</si>
</sst>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rgb="FF002060"/>
      </left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indexed="64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indexed="64"/>
      </top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rgb="FF002060"/>
      </top>
      <bottom style="thin">
        <color theme="8" tint="-0.499984740745262"/>
      </bottom>
      <diagonal/>
    </border>
    <border>
      <left style="thin">
        <color rgb="FF002060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rgb="FF002060"/>
      </bottom>
      <diagonal/>
    </border>
    <border>
      <left style="thin">
        <color theme="8" tint="-0.499984740745262"/>
      </left>
      <right style="thin">
        <color rgb="FF002060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/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49" fontId="0" fillId="0" borderId="0" xfId="0" applyNumberFormat="1"/>
    <xf numFmtId="49" fontId="3" fillId="0" borderId="0" xfId="0" applyNumberFormat="1" applyFont="1"/>
    <xf numFmtId="0" fontId="0" fillId="3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0" xfId="0" applyFill="1"/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66FF"/>
      <color rgb="FF0000FF"/>
      <color rgb="FFFF99FF"/>
      <color rgb="FFFFCCFF"/>
      <color rgb="FF99FF99"/>
      <color rgb="FFFF5050"/>
      <color rgb="FFFF00FF"/>
      <color rgb="FF00FF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solidFill>
          <a:schemeClr val="tx1">
            <a:lumMod val="50000"/>
            <a:lumOff val="50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tx1">
            <a:lumMod val="50000"/>
            <a:lumOff val="50000"/>
          </a:schemeClr>
        </a:solidFill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4"/>
          <c:order val="0"/>
          <c:tx>
            <c:strRef>
              <c:f>Calculadora!$L$9</c:f>
              <c:strCache>
                <c:ptCount val="1"/>
                <c:pt idx="0">
                  <c:v>Pontuação Defensivos</c:v>
                </c:pt>
              </c:strCache>
            </c:strRef>
          </c:tx>
          <c:spPr>
            <a:solidFill>
              <a:srgbClr val="FF5050"/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Calculadora!$N$9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D-424D-A19A-260826365343}"/>
            </c:ext>
          </c:extLst>
        </c:ser>
        <c:ser>
          <c:idx val="5"/>
          <c:order val="1"/>
          <c:tx>
            <c:strRef>
              <c:f>Calculadora!$L$10</c:f>
              <c:strCache>
                <c:ptCount val="1"/>
                <c:pt idx="0">
                  <c:v>Pontuação Máxima Defensivos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Calculadora!$N$10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D-424D-A19A-260826365343}"/>
            </c:ext>
          </c:extLst>
        </c:ser>
        <c:ser>
          <c:idx val="0"/>
          <c:order val="2"/>
          <c:tx>
            <c:strRef>
              <c:f>Calculadora!$A$9</c:f>
              <c:strCache>
                <c:ptCount val="1"/>
                <c:pt idx="0">
                  <c:v>Pontuação A_P</c:v>
                </c:pt>
              </c:strCache>
            </c:strRef>
          </c:tx>
          <c:spPr>
            <a:solidFill>
              <a:srgbClr val="99FF99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Calculadora!$D$9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8D-424D-A19A-260826365343}"/>
            </c:ext>
          </c:extLst>
        </c:ser>
        <c:ser>
          <c:idx val="1"/>
          <c:order val="3"/>
          <c:tx>
            <c:strRef>
              <c:f>Calculadora!$A$10</c:f>
              <c:strCache>
                <c:ptCount val="1"/>
                <c:pt idx="0">
                  <c:v>Pontuação Máxima Arvores Pequenas</c:v>
                </c:pt>
              </c:strCache>
            </c:strRef>
          </c:tx>
          <c:spPr>
            <a:solidFill>
              <a:srgbClr val="00FF00"/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Calculadora!$D$10</c:f>
              <c:numCache>
                <c:formatCode>General</c:formatCode>
                <c:ptCount val="1"/>
                <c:pt idx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8D-424D-A19A-260826365343}"/>
            </c:ext>
          </c:extLst>
        </c:ser>
        <c:ser>
          <c:idx val="2"/>
          <c:order val="4"/>
          <c:tx>
            <c:strRef>
              <c:f>Calculadora!$F$11</c:f>
              <c:strCache>
                <c:ptCount val="1"/>
                <c:pt idx="0">
                  <c:v>Pontuação A_G</c:v>
                </c:pt>
              </c:strCache>
            </c:strRef>
          </c:tx>
          <c:spPr>
            <a:solidFill>
              <a:srgbClr val="FF99FF"/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Calculadora!$I$11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8D-424D-A19A-260826365343}"/>
            </c:ext>
          </c:extLst>
        </c:ser>
        <c:ser>
          <c:idx val="3"/>
          <c:order val="5"/>
          <c:tx>
            <c:strRef>
              <c:f>Calculadora!$F$12</c:f>
              <c:strCache>
                <c:ptCount val="1"/>
                <c:pt idx="0">
                  <c:v>Pontuação Máxima Arvores Grandes</c:v>
                </c:pt>
              </c:strCache>
            </c:strRef>
          </c:tx>
          <c:spPr>
            <a:solidFill>
              <a:srgbClr val="FF00FF"/>
            </a:solidFill>
            <a:ln w="9525"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contourW="9525"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Calculadora!$I$12</c:f>
              <c:numCache>
                <c:formatCode>General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8D-424D-A19A-2608263653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806378688"/>
        <c:axId val="806379104"/>
        <c:axId val="0"/>
      </c:bar3DChart>
      <c:catAx>
        <c:axId val="806378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379104"/>
        <c:crosses val="autoZero"/>
        <c:auto val="1"/>
        <c:lblAlgn val="ctr"/>
        <c:lblOffset val="100"/>
        <c:noMultiLvlLbl val="0"/>
      </c:catAx>
      <c:valAx>
        <c:axId val="806379104"/>
        <c:scaling>
          <c:orientation val="minMax"/>
          <c:max val="890"/>
          <c:min val="30"/>
        </c:scaling>
        <c:delete val="1"/>
        <c:axPos val="b"/>
        <c:numFmt formatCode="General" sourceLinked="1"/>
        <c:majorTickMark val="out"/>
        <c:minorTickMark val="none"/>
        <c:tickLblPos val="nextTo"/>
        <c:crossAx val="806378688"/>
        <c:crosses val="autoZero"/>
        <c:crossBetween val="between"/>
        <c:majorUnit val="4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4331009729220392"/>
          <c:y val="0.21256174378496925"/>
          <c:w val="0.45447640935304606"/>
          <c:h val="0.69841785651616595"/>
        </c:manualLayout>
      </c:layout>
      <c:overlay val="0"/>
      <c:spPr>
        <a:noFill/>
        <a:ln>
          <a:noFill/>
        </a:ln>
        <a:effectLst>
          <a:softEdge rad="31750"/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50000"/>
        <a:lumOff val="50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Pontuação</a:t>
            </a:r>
            <a:r>
              <a:rPr lang="pt-BR" b="1" baseline="0"/>
              <a:t> gerAL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Calculadora!$G$14</c:f>
              <c:strCache>
                <c:ptCount val="1"/>
                <c:pt idx="0">
                  <c:v>Pontuação Total</c:v>
                </c:pt>
              </c:strCache>
            </c:strRef>
          </c:tx>
          <c:spPr>
            <a:solidFill>
              <a:srgbClr val="3366FF"/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Calculadora!$H$14:$I$14</c15:sqref>
                  </c15:fullRef>
                </c:ext>
              </c:extLst>
              <c:f>Calculadora!$I$14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9-43EE-9FCC-F654E6D86AD7}"/>
            </c:ext>
          </c:extLst>
        </c:ser>
        <c:ser>
          <c:idx val="1"/>
          <c:order val="1"/>
          <c:tx>
            <c:strRef>
              <c:f>Calculadora!$G$15</c:f>
              <c:strCache>
                <c:ptCount val="1"/>
                <c:pt idx="0">
                  <c:v>Pontuação Máxima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Calculadora!$H$15:$I$15</c15:sqref>
                  </c15:fullRef>
                </c:ext>
              </c:extLst>
              <c:f>Calculadora!$I$15</c:f>
              <c:numCache>
                <c:formatCode>General</c:formatCode>
                <c:ptCount val="1"/>
                <c:pt idx="0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9-43EE-9FCC-F654E6D86A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78591072"/>
        <c:axId val="678591488"/>
        <c:axId val="0"/>
      </c:bar3DChart>
      <c:catAx>
        <c:axId val="678591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8591488"/>
        <c:crosses val="autoZero"/>
        <c:auto val="1"/>
        <c:lblAlgn val="ctr"/>
        <c:lblOffset val="100"/>
        <c:noMultiLvlLbl val="0"/>
      </c:catAx>
      <c:valAx>
        <c:axId val="678591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7859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50000"/>
        <a:lumOff val="50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281215</xdr:colOff>
      <xdr:row>10</xdr:row>
      <xdr:rowOff>36285</xdr:rowOff>
    </xdr:from>
    <xdr:to>
      <xdr:col>9</xdr:col>
      <xdr:colOff>426357</xdr:colOff>
      <xdr:row>14</xdr:row>
      <xdr:rowOff>190500</xdr:rowOff>
    </xdr:to>
    <xdr:sp macro="[0]!RESULTADOS" textlink="">
      <xdr:nvSpPr>
        <xdr:cNvPr id="10" name="Retângulo: Biselado 9">
          <a:extLst>
            <a:ext uri="{FF2B5EF4-FFF2-40B4-BE49-F238E27FC236}">
              <a16:creationId xmlns:a16="http://schemas.microsoft.com/office/drawing/2014/main" id="{B2DA10C4-D397-C98F-528A-CEBC2995D84D}"/>
            </a:ext>
          </a:extLst>
        </xdr:cNvPr>
        <xdr:cNvSpPr/>
      </xdr:nvSpPr>
      <xdr:spPr>
        <a:xfrm>
          <a:off x="7438572" y="3492499"/>
          <a:ext cx="4399642" cy="160564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698500</xdr:colOff>
      <xdr:row>10</xdr:row>
      <xdr:rowOff>272143</xdr:rowOff>
    </xdr:from>
    <xdr:to>
      <xdr:col>9</xdr:col>
      <xdr:colOff>72572</xdr:colOff>
      <xdr:row>13</xdr:row>
      <xdr:rowOff>362858</xdr:rowOff>
    </xdr:to>
    <xdr:sp macro="[0]!RESULTADOS" textlink="">
      <xdr:nvSpPr>
        <xdr:cNvPr id="11" name="CaixaDeTexto 10">
          <a:extLst>
            <a:ext uri="{FF2B5EF4-FFF2-40B4-BE49-F238E27FC236}">
              <a16:creationId xmlns:a16="http://schemas.microsoft.com/office/drawing/2014/main" id="{C83BF9A2-718D-FC1B-6D5C-0883AF01B98D}"/>
            </a:ext>
          </a:extLst>
        </xdr:cNvPr>
        <xdr:cNvSpPr txBox="1"/>
      </xdr:nvSpPr>
      <xdr:spPr>
        <a:xfrm>
          <a:off x="7855857" y="3728357"/>
          <a:ext cx="3628572" cy="1088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Pressione aqui para mostrar os 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79828</xdr:colOff>
      <xdr:row>0</xdr:row>
      <xdr:rowOff>73532</xdr:rowOff>
    </xdr:from>
    <xdr:to>
      <xdr:col>12</xdr:col>
      <xdr:colOff>590550</xdr:colOff>
      <xdr:row>21</xdr:row>
      <xdr:rowOff>38099</xdr:rowOff>
    </xdr:to>
    <xdr:graphicFrame macro="">
      <xdr:nvGraphicFramePr>
        <xdr:cNvPr id="2" name="Gráfico 6">
          <a:extLst>
            <a:ext uri="{FF2B5EF4-FFF2-40B4-BE49-F238E27FC236}">
              <a16:creationId xmlns:a16="http://schemas.microsoft.com/office/drawing/2014/main" id="{F40BF648-09D7-BB02-246F-CB3EC5DCB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39648</xdr:colOff>
      <xdr:row>0</xdr:row>
      <xdr:rowOff>69370</xdr:rowOff>
    </xdr:from>
    <xdr:to>
      <xdr:col>20</xdr:col>
      <xdr:colOff>347436</xdr:colOff>
      <xdr:row>21</xdr:row>
      <xdr:rowOff>59765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9AA119D6-325E-03D5-21CE-F3843606A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482864</xdr:colOff>
      <xdr:row>0</xdr:row>
      <xdr:rowOff>138907</xdr:rowOff>
    </xdr:from>
    <xdr:to>
      <xdr:col>14</xdr:col>
      <xdr:colOff>205053</xdr:colOff>
      <xdr:row>5</xdr:row>
      <xdr:rowOff>4915</xdr:rowOff>
    </xdr:to>
    <xdr:sp macro="[0]!Calculardora" textlink="">
      <xdr:nvSpPr>
        <xdr:cNvPr id="4" name="Retângulo: Biselado 3">
          <a:extLst>
            <a:ext uri="{FF2B5EF4-FFF2-40B4-BE49-F238E27FC236}">
              <a16:creationId xmlns:a16="http://schemas.microsoft.com/office/drawing/2014/main" id="{D611EFF9-3216-403B-9EC2-D1BCC111D38D}"/>
            </a:ext>
          </a:extLst>
        </xdr:cNvPr>
        <xdr:cNvSpPr/>
      </xdr:nvSpPr>
      <xdr:spPr>
        <a:xfrm>
          <a:off x="7176822" y="138907"/>
          <a:ext cx="1547814" cy="792050"/>
        </a:xfrm>
        <a:prstGeom prst="bevel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0.15614</cdr:x>
      <cdr:y>0.04643</cdr:y>
    </cdr:from>
    <cdr:to>
      <cdr:x>0.84506</cdr:x>
      <cdr:y>0.12908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99940E1F-BA08-B96C-69F6-FB556483494E}"/>
            </a:ext>
          </a:extLst>
        </cdr:cNvPr>
        <cdr:cNvSpPr txBox="1"/>
      </cdr:nvSpPr>
      <cdr:spPr>
        <a:xfrm xmlns:a="http://schemas.openxmlformats.org/drawingml/2006/main">
          <a:off x="1227525" y="180468"/>
          <a:ext cx="5416176" cy="3212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pt-BR" sz="1800" b="1">
              <a:solidFill>
                <a:schemeClr val="bg1"/>
              </a:solidFill>
            </a:rPr>
            <a:t>PONTUAÇÃO</a:t>
          </a:r>
          <a:r>
            <a:rPr lang="pt-BR" sz="1800" b="1" baseline="0">
              <a:solidFill>
                <a:schemeClr val="bg1"/>
              </a:solidFill>
            </a:rPr>
            <a:t> POR MISSÕES</a:t>
          </a:r>
          <a:endParaRPr lang="pt-BR" sz="1800" b="1">
            <a:solidFill>
              <a:schemeClr val="bg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BED6F-904F-4F0D-8038-7705EE511573}">
  <sheetPr codeName="Planilha1">
    <tabColor rgb="FF0070C0"/>
  </sheetPr>
  <dimension ref="A1:N20"/>
  <sheetViews>
    <sheetView tabSelected="1" zoomScale="70" zoomScaleNormal="70" workbookViewId="0">
      <selection activeCell="C6" sqref="C6"/>
    </sheetView>
  </sheetViews>
  <sheetFormatPr defaultRowHeight="15" x14ac:dyDescent="0.25"/>
  <cols>
    <col min="1" max="1" width="22.42578125" bestFit="1" customWidth="1"/>
    <col min="2" max="2" width="29.140625" bestFit="1" customWidth="1"/>
    <col min="3" max="3" width="18.85546875" bestFit="1" customWidth="1"/>
    <col min="4" max="4" width="18.42578125" bestFit="1" customWidth="1"/>
    <col min="5" max="5" width="13.5703125" bestFit="1" customWidth="1"/>
    <col min="6" max="6" width="21.5703125" bestFit="1" customWidth="1"/>
    <col min="7" max="7" width="12.140625" customWidth="1"/>
    <col min="8" max="8" width="16.28515625" customWidth="1"/>
    <col min="9" max="9" width="11.7109375" bestFit="1" customWidth="1"/>
    <col min="10" max="10" width="12" bestFit="1" customWidth="1"/>
    <col min="11" max="11" width="5.28515625" customWidth="1"/>
    <col min="12" max="12" width="13.5703125" bestFit="1" customWidth="1"/>
    <col min="13" max="13" width="26.5703125" customWidth="1"/>
    <col min="14" max="14" width="22.42578125" customWidth="1"/>
  </cols>
  <sheetData>
    <row r="1" spans="1:14" ht="21" x14ac:dyDescent="0.35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3" spans="1:14" ht="23.25" customHeight="1" x14ac:dyDescent="0.35">
      <c r="A3" s="31" t="s">
        <v>7</v>
      </c>
      <c r="B3" s="32"/>
      <c r="C3" s="32"/>
      <c r="D3" s="33"/>
      <c r="F3" s="39" t="s">
        <v>8</v>
      </c>
      <c r="G3" s="40"/>
      <c r="H3" s="40"/>
      <c r="I3" s="40"/>
      <c r="J3" s="40"/>
      <c r="M3" s="36" t="s">
        <v>13</v>
      </c>
      <c r="N3" s="37"/>
    </row>
    <row r="4" spans="1:14" x14ac:dyDescent="0.25">
      <c r="A4" s="34"/>
      <c r="B4" s="29" t="s">
        <v>1</v>
      </c>
      <c r="C4" s="30"/>
      <c r="D4" s="6"/>
      <c r="F4" s="43"/>
      <c r="G4" s="43"/>
      <c r="H4" s="41" t="s">
        <v>1</v>
      </c>
      <c r="I4" s="41"/>
      <c r="J4" s="11"/>
      <c r="M4" s="16" t="s">
        <v>17</v>
      </c>
      <c r="N4" s="13" t="s">
        <v>4</v>
      </c>
    </row>
    <row r="5" spans="1:14" ht="15" customHeight="1" x14ac:dyDescent="0.25">
      <c r="A5" s="35"/>
      <c r="B5" s="10" t="s">
        <v>2</v>
      </c>
      <c r="C5" s="2" t="s">
        <v>3</v>
      </c>
      <c r="D5" s="7" t="s">
        <v>4</v>
      </c>
      <c r="F5" s="43"/>
      <c r="G5" s="43"/>
      <c r="H5" s="14" t="s">
        <v>2</v>
      </c>
      <c r="I5" s="14" t="s">
        <v>3</v>
      </c>
      <c r="J5" s="13" t="s">
        <v>4</v>
      </c>
      <c r="L5" s="5" t="s">
        <v>14</v>
      </c>
      <c r="M5" s="19"/>
      <c r="N5" s="5">
        <f>M5*15</f>
        <v>0</v>
      </c>
    </row>
    <row r="6" spans="1:14" ht="45" customHeight="1" x14ac:dyDescent="0.25">
      <c r="A6" s="8" t="s">
        <v>5</v>
      </c>
      <c r="B6" s="9"/>
      <c r="C6" s="1"/>
      <c r="D6" s="3">
        <f>(B6*40)+(C6*80)</f>
        <v>0</v>
      </c>
      <c r="F6" s="42" t="s">
        <v>9</v>
      </c>
      <c r="G6" s="12" t="s">
        <v>11</v>
      </c>
      <c r="H6" s="15"/>
      <c r="I6" s="15"/>
      <c r="J6" s="5">
        <f>(H6*60)+(I6*120)</f>
        <v>0</v>
      </c>
      <c r="L6" s="5" t="s">
        <v>15</v>
      </c>
      <c r="M6" s="15"/>
      <c r="N6" s="5">
        <f>M6*5</f>
        <v>0</v>
      </c>
    </row>
    <row r="7" spans="1:14" ht="60" x14ac:dyDescent="0.25">
      <c r="A7" s="8" t="s">
        <v>6</v>
      </c>
      <c r="B7" s="9"/>
      <c r="C7" s="4"/>
      <c r="D7" s="5">
        <f>(B7*20)+(C7*60)</f>
        <v>0</v>
      </c>
      <c r="F7" s="42"/>
      <c r="G7" s="12" t="s">
        <v>12</v>
      </c>
      <c r="H7" s="15"/>
      <c r="I7" s="15"/>
      <c r="J7" s="5">
        <f>(H7*30)+(I7*90)</f>
        <v>0</v>
      </c>
      <c r="L7" s="12" t="s">
        <v>16</v>
      </c>
      <c r="M7" s="15"/>
      <c r="N7" s="5">
        <f>M7*(-5)</f>
        <v>0</v>
      </c>
    </row>
    <row r="8" spans="1:14" ht="45" x14ac:dyDescent="0.25">
      <c r="F8" s="42" t="s">
        <v>10</v>
      </c>
      <c r="G8" s="12" t="s">
        <v>11</v>
      </c>
      <c r="H8" s="15"/>
      <c r="I8" s="15"/>
      <c r="J8" s="5">
        <f>(H8*20)+(I8*40)</f>
        <v>0</v>
      </c>
    </row>
    <row r="9" spans="1:14" ht="45" x14ac:dyDescent="0.25">
      <c r="A9" s="26" t="s">
        <v>20</v>
      </c>
      <c r="B9" s="26"/>
      <c r="C9" s="26"/>
      <c r="D9" s="20">
        <f>SUM(D6+D7)</f>
        <v>0</v>
      </c>
      <c r="F9" s="42"/>
      <c r="G9" s="12" t="s">
        <v>12</v>
      </c>
      <c r="H9" s="15"/>
      <c r="I9" s="15"/>
      <c r="J9" s="5">
        <f>(H9*10)+(I9*30)</f>
        <v>0</v>
      </c>
      <c r="L9" s="22" t="s">
        <v>22</v>
      </c>
      <c r="M9" s="22"/>
      <c r="N9" s="20">
        <f>SUM(N5,N6,N7)</f>
        <v>0</v>
      </c>
    </row>
    <row r="10" spans="1:14" ht="23.25" x14ac:dyDescent="0.25">
      <c r="A10" s="26" t="s">
        <v>23</v>
      </c>
      <c r="B10" s="26"/>
      <c r="C10" s="26"/>
      <c r="D10" s="20">
        <v>320</v>
      </c>
      <c r="L10" s="23" t="s">
        <v>25</v>
      </c>
      <c r="M10" s="23"/>
      <c r="N10" s="20">
        <v>90</v>
      </c>
    </row>
    <row r="11" spans="1:14" ht="23.25" x14ac:dyDescent="0.35">
      <c r="F11" s="24" t="s">
        <v>21</v>
      </c>
      <c r="G11" s="24"/>
      <c r="H11" s="24"/>
      <c r="I11" s="25">
        <f>SUM(J6+J7+J8+J9)</f>
        <v>0</v>
      </c>
      <c r="J11" s="25"/>
    </row>
    <row r="12" spans="1:14" ht="23.25" x14ac:dyDescent="0.25">
      <c r="F12" s="26" t="s">
        <v>24</v>
      </c>
      <c r="G12" s="26"/>
      <c r="H12" s="26"/>
      <c r="I12" s="25">
        <v>480</v>
      </c>
      <c r="J12" s="25"/>
    </row>
    <row r="13" spans="1:14" ht="31.5" customHeight="1" x14ac:dyDescent="0.25"/>
    <row r="14" spans="1:14" ht="36" customHeight="1" x14ac:dyDescent="0.35">
      <c r="G14" s="38" t="s">
        <v>18</v>
      </c>
      <c r="H14" s="38"/>
      <c r="I14" s="20">
        <f>D6+D7+J6+J7+J8+J9+N5+N6+N7</f>
        <v>0</v>
      </c>
    </row>
    <row r="15" spans="1:14" ht="38.25" customHeight="1" x14ac:dyDescent="0.25">
      <c r="A15" s="17"/>
      <c r="B15" s="17"/>
      <c r="C15" s="17"/>
      <c r="D15" s="17"/>
      <c r="E15" s="17"/>
      <c r="G15" s="27" t="s">
        <v>19</v>
      </c>
      <c r="H15" s="27"/>
      <c r="I15" s="20">
        <v>890</v>
      </c>
    </row>
    <row r="16" spans="1:14" ht="42.75" customHeight="1" x14ac:dyDescent="0.25">
      <c r="A16" s="17"/>
      <c r="B16" s="17"/>
      <c r="C16" s="17"/>
      <c r="D16" s="17"/>
      <c r="E16" s="17"/>
    </row>
    <row r="17" spans="1:6" x14ac:dyDescent="0.25">
      <c r="A17" s="17"/>
      <c r="B17" s="17"/>
      <c r="C17" s="17"/>
      <c r="D17" s="17"/>
      <c r="E17" s="17"/>
    </row>
    <row r="18" spans="1:6" x14ac:dyDescent="0.25">
      <c r="A18" s="17"/>
      <c r="B18" s="17"/>
      <c r="C18" s="17"/>
      <c r="D18" s="17"/>
      <c r="E18" s="17"/>
      <c r="F18" s="17"/>
    </row>
    <row r="19" spans="1:6" ht="23.25" x14ac:dyDescent="0.35">
      <c r="A19" s="17"/>
      <c r="B19" s="17"/>
      <c r="C19" s="17"/>
      <c r="D19" s="18"/>
      <c r="E19" s="17"/>
      <c r="F19" s="17"/>
    </row>
    <row r="20" spans="1:6" x14ac:dyDescent="0.25">
      <c r="A20" s="17"/>
      <c r="B20" s="17"/>
      <c r="C20" s="17"/>
      <c r="D20" s="17"/>
      <c r="E20" s="17"/>
      <c r="F20" s="17"/>
    </row>
  </sheetData>
  <mergeCells count="20">
    <mergeCell ref="G15:H15"/>
    <mergeCell ref="A1:N1"/>
    <mergeCell ref="B4:C4"/>
    <mergeCell ref="A3:D3"/>
    <mergeCell ref="A4:A5"/>
    <mergeCell ref="M3:N3"/>
    <mergeCell ref="G14:H14"/>
    <mergeCell ref="F3:J3"/>
    <mergeCell ref="H4:I4"/>
    <mergeCell ref="F6:F7"/>
    <mergeCell ref="F8:F9"/>
    <mergeCell ref="F4:G5"/>
    <mergeCell ref="A10:C10"/>
    <mergeCell ref="A9:C9"/>
    <mergeCell ref="L9:M9"/>
    <mergeCell ref="L10:M10"/>
    <mergeCell ref="F11:H11"/>
    <mergeCell ref="I11:J11"/>
    <mergeCell ref="F12:H12"/>
    <mergeCell ref="I12:J12"/>
  </mergeCells>
  <dataValidations count="7">
    <dataValidation type="list" allowBlank="1" showInputMessage="1" sqref="E16:E20" xr:uid="{FE8FD1DE-9FF9-4DA0-8091-D67EB7E441A4}">
      <formula1>"Processo, Decisão, Subprocesso, Início, Fim, Documento, Dados, Banco de Dados, Dados externos, Referência na página, Referência fora da página, Personalizar 1, Personalizar 2, Personalizar 3, Personalizar 4"</formula1>
    </dataValidation>
    <dataValidation allowBlank="1" showInputMessage="1" showErrorMessage="1" promptTitle="ID da Etapa do Processo" prompt="Insira uma ID de etapa de processo exclusiva para cada forma no diagrama." sqref="A15" xr:uid="{3B9F9E38-67AA-4300-A123-8C60E737D7E6}"/>
    <dataValidation allowBlank="1" showInputMessage="1" showErrorMessage="1" promptTitle="Descrição da Etapa do Processo" prompt="Insira o texto para a etapa do processo que será exibida na forma." sqref="B15" xr:uid="{751A92E4-1849-425A-825C-118D0E733818}"/>
    <dataValidation allowBlank="1" showInputMessage="1" showErrorMessage="1" promptTitle="ID da Próxima Etapa" prompt="Insira a ID da etapa do processo na próxima etapa. Use vírgulas para separar várias próximas etapas, como &quot;P600,P700&quot;." sqref="C15" xr:uid="{D393C2F1-E5D1-4820-8C14-1EB2D97E16CE}"/>
    <dataValidation allowBlank="1" showInputMessage="1" showErrorMessage="1" promptTitle="Rótulo do Conector" prompt="Se desejar, rotule o conector na próxima etapa. Use vírgulas para separar várias próximas etapas, como &quot;Sim,Não&quot;." sqref="D15" xr:uid="{D44A8C1B-1F2A-4D7B-8D13-61D600E68E91}"/>
    <dataValidation allowBlank="1" showInputMessage="1" showErrorMessage="1" promptTitle="Tipo de Forma" prompt="Insira o tipo de forma a ser usado para cada etapa do processo." sqref="E15" xr:uid="{69E24881-EA5F-48C3-A619-7C14235B38C7}"/>
    <dataValidation allowBlank="1" showInputMessage="1" showErrorMessage="1" promptTitle="Texto Alt" prompt="O texto Alt ajuda as pessoas com deficiências visuais a entenderem o diagrama. Descreva cada etapa do processo." sqref="F15" xr:uid="{DFC1FEE0-36E3-4A24-A6A5-1818C52440AD}"/>
  </dataValidations>
  <pageMargins left="0.511811024" right="0.511811024" top="0.78740157499999996" bottom="0.78740157499999996" header="0.31496062000000002" footer="0.31496062000000002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C3A60-F6C3-42E6-AC81-402DF2361A9D}">
  <sheetPr codeName="Planilha2"/>
  <dimension ref="A1:W28"/>
  <sheetViews>
    <sheetView zoomScale="96" zoomScaleNormal="96" workbookViewId="0">
      <selection activeCell="M24" sqref="M24"/>
    </sheetView>
  </sheetViews>
  <sheetFormatPr defaultRowHeight="15" x14ac:dyDescent="0.25"/>
  <sheetData>
    <row r="1" spans="1:23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</row>
    <row r="2" spans="1:23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</row>
    <row r="3" spans="1:23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</row>
    <row r="4" spans="1:23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</row>
    <row r="5" spans="1:23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</row>
    <row r="6" spans="1:23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</row>
    <row r="7" spans="1:23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</row>
    <row r="8" spans="1:23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</row>
    <row r="9" spans="1:23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</row>
    <row r="10" spans="1:23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</row>
    <row r="11" spans="1:23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</row>
    <row r="12" spans="1:23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</row>
    <row r="13" spans="1:23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</row>
    <row r="14" spans="1:23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</row>
    <row r="15" spans="1:23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</row>
    <row r="16" spans="1:23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</row>
    <row r="17" spans="1:23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1:23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</row>
    <row r="19" spans="1:23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</row>
    <row r="20" spans="1:23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</row>
    <row r="21" spans="1:23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</row>
    <row r="22" spans="1:23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1:23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</row>
    <row r="24" spans="1:23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3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</row>
    <row r="26" spans="1:23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</row>
    <row r="27" spans="1:23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</row>
    <row r="28" spans="1:23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</row>
  </sheetData>
  <sheetProtection algorithmName="SHA-512" hashValue="iDk8GXsCyrT1gylF9gRc5jKh830/csWu/coC2sNjJOxYQYmYIyn4zBWO85ql96LvWwqbPNrQUZMe2ZylsmazLw==" saltValue="3yBoUTe+Pg1WSebaoVGwyg==" spinCount="100000" sheet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Calculadora</vt:lpstr>
      <vt:lpstr>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Rodrigues</dc:creator>
  <cp:lastModifiedBy>Bruno Mendes Carvalho de Paula</cp:lastModifiedBy>
  <dcterms:created xsi:type="dcterms:W3CDTF">2022-11-03T11:26:50Z</dcterms:created>
  <dcterms:modified xsi:type="dcterms:W3CDTF">2023-02-01T01:18:40Z</dcterms:modified>
</cp:coreProperties>
</file>